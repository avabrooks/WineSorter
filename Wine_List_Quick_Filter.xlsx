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Wi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<sst xmlns="http://schemas.openxmlformats.org/spreadsheetml/2006/main" count="308" uniqueCount="145">
  <si>
    <t xml:space="preserve">Wine List — Quick Filter Workbook</t>
  </si>
  <si>
    <t xml:space="preserve">How this works</t>
  </si>
  <si>
    <t xml:space="preserve">1. Go to the 'Wines' tab.</t>
  </si>
  <si>
    <t xml:space="preserve">2. At the top, fill in the blue Filter Criteria cells (Country, Type, Grape, Max Price, Min Rating). Leave any of them as "Any" / blank to ignore that filter.</t>
  </si>
  <si>
    <t xml:space="preserve">3. Every row's "Matches Criteria" column updates automatically (TRUE/FALSE).</t>
  </si>
  <si>
    <t xml:space="preserve">4. Click the filter arrow on the "Matches Criteria" column header and check only TRUE.</t>
  </si>
  <si>
    <t xml:space="preserve">5. To sort (e.g. cheapest first, highest rated first), click the filter arrow on that column (Price, Rating, Vintage...) and choose Sort Smallest to Largest / Largest to Smallest.</t>
  </si>
  <si>
    <t xml:space="preserve">No macros, no add-ins — this only uses Excel's built-in Table filters, so it opens safely with no security warnings.</t>
  </si>
  <si>
    <t xml:space="preserve">Example: "red wines from France under $30, sorted by price"</t>
  </si>
  <si>
    <t xml:space="preserve">   • Set Type = Red</t>
  </si>
  <si>
    <t xml:space="preserve">   • Set Country = France</t>
  </si>
  <si>
    <t xml:space="preserve">   • Set Max Price = 30</t>
  </si>
  <si>
    <t xml:space="preserve">   • Filter "Matches Criteria" to TRUE</t>
  </si>
  <si>
    <t xml:space="preserve">   • Click the Price column arrow → Sort Smallest to Largest</t>
  </si>
  <si>
    <t xml:space="preserve">Tip: this same workbook is also useful side-by-side with the Wine Prompt Sorter (the web tool) — that one takes a typed sentence, this one uses Excel's native filter dropdowns. See which one she prefers.</t>
  </si>
  <si>
    <t xml:space="preserve">FILTER CRITERIA (edit the blue cells):</t>
  </si>
  <si>
    <t xml:space="preserve">Country</t>
  </si>
  <si>
    <t xml:space="preserve">Type</t>
  </si>
  <si>
    <t xml:space="preserve">Grape</t>
  </si>
  <si>
    <t xml:space="preserve">Max Price</t>
  </si>
  <si>
    <t xml:space="preserve">Min Rating</t>
  </si>
  <si>
    <t xml:space="preserve">Any</t>
  </si>
  <si>
    <t xml:space="preserve">Wine Name</t>
  </si>
  <si>
    <t xml:space="preserve">Region</t>
  </si>
  <si>
    <t xml:space="preserve">Vintage</t>
  </si>
  <si>
    <t xml:space="preserve">Price</t>
  </si>
  <si>
    <t xml:space="preserve">Rating</t>
  </si>
  <si>
    <t xml:space="preserve">Matches Criteria</t>
  </si>
  <si>
    <t xml:space="preserve">Amber Fields Malbec 2018</t>
  </si>
  <si>
    <t xml:space="preserve">Portugal</t>
  </si>
  <si>
    <t xml:space="preserve">Douro</t>
  </si>
  <si>
    <t xml:space="preserve">Red</t>
  </si>
  <si>
    <t xml:space="preserve">Malbec</t>
  </si>
  <si>
    <t xml:space="preserve">Coastal Bend Chenin 2015</t>
  </si>
  <si>
    <t xml:space="preserve">Germany</t>
  </si>
  <si>
    <t xml:space="preserve">Mosel</t>
  </si>
  <si>
    <t xml:space="preserve">Sparkling</t>
  </si>
  <si>
    <t xml:space="preserve">Chenin Blanc</t>
  </si>
  <si>
    <t xml:space="preserve">Falcon's Rest Nebbiolo 2021</t>
  </si>
  <si>
    <t xml:space="preserve">France</t>
  </si>
  <si>
    <t xml:space="preserve">Rhone Valley</t>
  </si>
  <si>
    <t xml:space="preserve">Nebbiolo</t>
  </si>
  <si>
    <t xml:space="preserve">Golden Valley Riesling 2019</t>
  </si>
  <si>
    <t xml:space="preserve">Burgundy</t>
  </si>
  <si>
    <t xml:space="preserve">White</t>
  </si>
  <si>
    <t xml:space="preserve">Riesling</t>
  </si>
  <si>
    <t xml:space="preserve">Bright Star Sangiovese 2020</t>
  </si>
  <si>
    <t xml:space="preserve">Italy</t>
  </si>
  <si>
    <t xml:space="preserve">Sicily</t>
  </si>
  <si>
    <t xml:space="preserve">Sangiovese</t>
  </si>
  <si>
    <t xml:space="preserve">Windswept Chardonnay 2019</t>
  </si>
  <si>
    <t xml:space="preserve">Chardonnay</t>
  </si>
  <si>
    <t xml:space="preserve">Blackbird Cabernet 2018</t>
  </si>
  <si>
    <t xml:space="preserve">South Africa</t>
  </si>
  <si>
    <t xml:space="preserve">Stellenbosch</t>
  </si>
  <si>
    <t xml:space="preserve">Cabernet Sauvignon</t>
  </si>
  <si>
    <t xml:space="preserve">Moonlit Zinfandel 2020</t>
  </si>
  <si>
    <t xml:space="preserve">Zinfandel</t>
  </si>
  <si>
    <t xml:space="preserve">Redwood Pinot 2018</t>
  </si>
  <si>
    <t xml:space="preserve">Pinot Noir</t>
  </si>
  <si>
    <t xml:space="preserve">Hidden Springs Semillon 2015</t>
  </si>
  <si>
    <t xml:space="preserve">Dessert</t>
  </si>
  <si>
    <t xml:space="preserve">Semillon</t>
  </si>
  <si>
    <t xml:space="preserve">Sable Ridge Grenache 2020</t>
  </si>
  <si>
    <t xml:space="preserve">Argentina</t>
  </si>
  <si>
    <t xml:space="preserve">Mendoza</t>
  </si>
  <si>
    <t xml:space="preserve">Grenache</t>
  </si>
  <si>
    <t xml:space="preserve">Amber Fields Malbec 2017</t>
  </si>
  <si>
    <t xml:space="preserve">Vinho Verde</t>
  </si>
  <si>
    <t xml:space="preserve">Wild Rose Chenin 2020</t>
  </si>
  <si>
    <t xml:space="preserve">Swartland</t>
  </si>
  <si>
    <t xml:space="preserve">Hidden Springs Pinot 2017</t>
  </si>
  <si>
    <t xml:space="preserve">Tuscany</t>
  </si>
  <si>
    <t xml:space="preserve">Vintner's Reserve Viognier 2019</t>
  </si>
  <si>
    <t xml:space="preserve">Australia</t>
  </si>
  <si>
    <t xml:space="preserve">Yarra Valley</t>
  </si>
  <si>
    <t xml:space="preserve">Viognier</t>
  </si>
  <si>
    <t xml:space="preserve">Amber Fields Semillon 2016</t>
  </si>
  <si>
    <t xml:space="preserve">Veneto</t>
  </si>
  <si>
    <t xml:space="preserve">Silver Creek Grenache 2019</t>
  </si>
  <si>
    <t xml:space="preserve">Rose</t>
  </si>
  <si>
    <t xml:space="preserve">Emerald Slope Grenache 2020</t>
  </si>
  <si>
    <t xml:space="preserve">Chile</t>
  </si>
  <si>
    <t xml:space="preserve">Maipo Valley</t>
  </si>
  <si>
    <t xml:space="preserve">Crescent Bay Syrah 2016</t>
  </si>
  <si>
    <t xml:space="preserve">Syrah</t>
  </si>
  <si>
    <t xml:space="preserve">Twin Oaks Zinfandel 2017</t>
  </si>
  <si>
    <t xml:space="preserve">Blackbird Tempranillo 2020</t>
  </si>
  <si>
    <t xml:space="preserve">Tempranillo</t>
  </si>
  <si>
    <t xml:space="preserve">Redwood Chardonnay 2018</t>
  </si>
  <si>
    <t xml:space="preserve">Spain</t>
  </si>
  <si>
    <t xml:space="preserve">Rioja</t>
  </si>
  <si>
    <t xml:space="preserve">Wild Rose Cabernet 2020</t>
  </si>
  <si>
    <t xml:space="preserve">Twin Oaks Grenache 2022</t>
  </si>
  <si>
    <t xml:space="preserve">Priorat</t>
  </si>
  <si>
    <t xml:space="preserve">Stone Ridge Semillon 2020</t>
  </si>
  <si>
    <t xml:space="preserve">Twin Oaks Tempranillo 2020</t>
  </si>
  <si>
    <t xml:space="preserve">Old Vine Tempranillo 2017</t>
  </si>
  <si>
    <t xml:space="preserve">Rheingau</t>
  </si>
  <si>
    <t xml:space="preserve">Blackbird Nebbiolo 2015</t>
  </si>
  <si>
    <t xml:space="preserve">New Zealand</t>
  </si>
  <si>
    <t xml:space="preserve">Marlborough</t>
  </si>
  <si>
    <t xml:space="preserve">Hidden Springs Pinot 2018</t>
  </si>
  <si>
    <t xml:space="preserve">USA</t>
  </si>
  <si>
    <t xml:space="preserve">Paso Robles</t>
  </si>
  <si>
    <t xml:space="preserve">Pinot Grigio</t>
  </si>
  <si>
    <t xml:space="preserve">Rustic Barrel Zinfandel 2019</t>
  </si>
  <si>
    <t xml:space="preserve">Loire Valley</t>
  </si>
  <si>
    <t xml:space="preserve">Rustic Barrel Syrah 2019</t>
  </si>
  <si>
    <t xml:space="preserve">Foggy Bottom Chardonnay 2015</t>
  </si>
  <si>
    <t xml:space="preserve">Provence</t>
  </si>
  <si>
    <t xml:space="preserve">Blackbird Grenache 2017</t>
  </si>
  <si>
    <t xml:space="preserve">Napa Valley</t>
  </si>
  <si>
    <t xml:space="preserve">Highland Pinot 2015</t>
  </si>
  <si>
    <t xml:space="preserve">Barossa Valley</t>
  </si>
  <si>
    <t xml:space="preserve">Redwood Syrah 2020</t>
  </si>
  <si>
    <t xml:space="preserve">Golden Valley Chenin 2016</t>
  </si>
  <si>
    <t xml:space="preserve">Uco Valley</t>
  </si>
  <si>
    <t xml:space="preserve">Blackbird Pinot 2017</t>
  </si>
  <si>
    <t xml:space="preserve">Piedmont</t>
  </si>
  <si>
    <t xml:space="preserve">Foggy Bottom Zinfandel 2019</t>
  </si>
  <si>
    <t xml:space="preserve">Casablanca Valley</t>
  </si>
  <si>
    <t xml:space="preserve">Emerald Slope Pinot 2016</t>
  </si>
  <si>
    <t xml:space="preserve">Falcon's Rest Malbec 2018</t>
  </si>
  <si>
    <t xml:space="preserve">Whispering Hill Cabernet 2016</t>
  </si>
  <si>
    <t xml:space="preserve">Rustic Barrel Semillon 2017</t>
  </si>
  <si>
    <t xml:space="preserve">Cedar Hollow Pinot 2015</t>
  </si>
  <si>
    <t xml:space="preserve">Bordeaux</t>
  </si>
  <si>
    <t xml:space="preserve">Vintner's Reserve Sangiovese 2015</t>
  </si>
  <si>
    <t xml:space="preserve">Rolling Hills Syrah 2017</t>
  </si>
  <si>
    <t xml:space="preserve">Falcon's Rest Pinot 2020</t>
  </si>
  <si>
    <t xml:space="preserve">Twin Oaks Merlot 2021</t>
  </si>
  <si>
    <t xml:space="preserve">Ribera del Duero</t>
  </si>
  <si>
    <t xml:space="preserve">Merlot</t>
  </si>
  <si>
    <t xml:space="preserve">Moonlit Syrah 2018</t>
  </si>
  <si>
    <t xml:space="preserve">Central Otago</t>
  </si>
  <si>
    <t xml:space="preserve">Whispering Hill Albarino 2021</t>
  </si>
  <si>
    <t xml:space="preserve">Albarino</t>
  </si>
  <si>
    <t xml:space="preserve">Amber Fields Grenache 2019</t>
  </si>
  <si>
    <t xml:space="preserve">Misty Vale Chardonnay 2021</t>
  </si>
  <si>
    <t xml:space="preserve">Copper Ridge Cinsault 2020</t>
  </si>
  <si>
    <t xml:space="preserve">Cinsault</t>
  </si>
  <si>
    <t xml:space="preserve">Hidden Springs Riesling 2019</t>
  </si>
  <si>
    <t xml:space="preserve">Highland Tempranillo 2021</t>
  </si>
  <si>
    <t xml:space="preserve">Coastal Bend Grenache 2019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</si>
</sst>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A132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8A7D6D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5A1329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C3"/>
      </left>
      <right style="thin">
        <color rgb="FFD9D0C3"/>
      </right>
      <top style="thin">
        <color rgb="FFD9D0C3"/>
      </top>
      <bottom style="thin">
        <color rgb="FFD9D0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5A132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0C3"/>
      <rgbColor rgb="FF8A7D6D"/>
      <rgbColor rgb="FF9999FF"/>
      <rgbColor rgb="FF993366"/>
      <rgbColor rgb="FFFFFFCC"/>
      <rgbColor rgb="FFCCFFFF"/>
      <rgbColor rgb="FF5A1329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WineTable" displayName="WineTable" ref="A4:I59" headerRowCount="1" totalsRowCount="0" totalsRowShown="0">
  <autoFilter ref="A4:I59"/>
  <tableColumns count="9">
    <tableColumn id="1" name="Wine Name"/>
    <tableColumn id="2" name="Country"/>
    <tableColumn id="3" name="Region"/>
    <tableColumn id="4" name="Type"/>
    <tableColumn id="5" name="Grape"/>
    <tableColumn id="6" name="Vintage"/>
    <tableColumn id="7" name="Price"/>
    <tableColumn id="8" name="Rating"/>
    <tableColumn id="9" name="Matches Criteri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26.8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26.8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/>
    </row>
    <row r="11" customFormat="false" ht="26.85" hidden="false" customHeight="false" outlineLevel="0" collapsed="false">
      <c r="B11" s="3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 t="s">
        <v>13</v>
      </c>
    </row>
    <row r="21" customFormat="false" ht="26.85" hidden="false" customHeight="false" outlineLevel="0" collapsed="false">
      <c r="B21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customFormat="false" ht="15" hidden="false" customHeight="false" outlineLevel="0" collapsed="false">
      <c r="B2" s="6" t="s">
        <v>21</v>
      </c>
      <c r="C2" s="6" t="s">
        <v>21</v>
      </c>
      <c r="D2" s="6" t="s">
        <v>21</v>
      </c>
      <c r="E2" s="6"/>
      <c r="F2" s="6"/>
    </row>
    <row r="4" customFormat="false" ht="15" hidden="false" customHeight="false" outlineLevel="0" collapsed="false">
      <c r="A4" s="7" t="s">
        <v>22</v>
      </c>
      <c r="B4" s="7" t="s">
        <v>16</v>
      </c>
      <c r="C4" s="7" t="s">
        <v>23</v>
      </c>
      <c r="D4" s="7" t="s">
        <v>17</v>
      </c>
      <c r="E4" s="7" t="s">
        <v>18</v>
      </c>
      <c r="F4" s="7" t="s">
        <v>24</v>
      </c>
      <c r="G4" s="7" t="s">
        <v>25</v>
      </c>
      <c r="H4" s="7" t="s">
        <v>26</v>
      </c>
      <c r="I4" s="7" t="s">
        <v>27</v>
      </c>
    </row>
    <row r="5" customFormat="false" ht="15" hidden="false" customHeight="false" outlineLevel="0" collapsed="false">
      <c r="A5" s="8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8" t="n">
        <v>2018</v>
      </c>
      <c r="G5" s="9" t="n">
        <v>15.36</v>
      </c>
      <c r="H5" s="8" t="n">
        <v>94</v>
      </c>
      <c r="I5" s="10" t="b">
        <f aca="false">AND(OR($B$2="Any",$B$2="",B5=$B$2),OR($C$2="Any",$C$2="",D5=$C$2),OR($D$2="Any",$D$2="",E5=$D$2),OR($E$2="",G5&lt;=$E$2),OR($F$2="",H5&gt;=$F$2))</f>
        <v>1</v>
      </c>
    </row>
    <row r="6" customFormat="false" ht="15" hidden="false" customHeight="false" outlineLevel="0" collapsed="false">
      <c r="A6" s="8" t="s">
        <v>33</v>
      </c>
      <c r="B6" s="8" t="s">
        <v>34</v>
      </c>
      <c r="C6" s="8" t="s">
        <v>35</v>
      </c>
      <c r="D6" s="8" t="s">
        <v>36</v>
      </c>
      <c r="E6" s="8" t="s">
        <v>37</v>
      </c>
      <c r="F6" s="8" t="n">
        <v>2015</v>
      </c>
      <c r="G6" s="9" t="n">
        <v>10.19</v>
      </c>
      <c r="H6" s="8" t="n">
        <v>92</v>
      </c>
      <c r="I6" s="10" t="b">
        <f aca="false">AND(OR($B$2="Any",$B$2="",B6=$B$2),OR($C$2="Any",$C$2="",D6=$C$2),OR($D$2="Any",$D$2="",E6=$D$2),OR($E$2="",G6&lt;=$E$2),OR($F$2="",H6&gt;=$F$2))</f>
        <v>1</v>
      </c>
    </row>
    <row r="7" customFormat="false" ht="15" hidden="false" customHeight="false" outlineLevel="0" collapsed="false">
      <c r="A7" s="8" t="s">
        <v>38</v>
      </c>
      <c r="B7" s="8" t="s">
        <v>39</v>
      </c>
      <c r="C7" s="8" t="s">
        <v>40</v>
      </c>
      <c r="D7" s="8" t="s">
        <v>31</v>
      </c>
      <c r="E7" s="8" t="s">
        <v>41</v>
      </c>
      <c r="F7" s="8" t="n">
        <v>2021</v>
      </c>
      <c r="G7" s="9" t="n">
        <v>13.89</v>
      </c>
      <c r="H7" s="8" t="n">
        <v>96</v>
      </c>
      <c r="I7" s="10" t="b">
        <f aca="false">AND(OR($B$2="Any",$B$2="",B7=$B$2),OR($C$2="Any",$C$2="",D7=$C$2),OR($D$2="Any",$D$2="",E7=$D$2),OR($E$2="",G7&lt;=$E$2),OR($F$2="",H7&gt;=$F$2))</f>
        <v>1</v>
      </c>
    </row>
    <row r="8" customFormat="false" ht="15" hidden="false" customHeight="false" outlineLevel="0" collapsed="false">
      <c r="A8" s="8" t="s">
        <v>42</v>
      </c>
      <c r="B8" s="8" t="s">
        <v>39</v>
      </c>
      <c r="C8" s="8" t="s">
        <v>43</v>
      </c>
      <c r="D8" s="8" t="s">
        <v>44</v>
      </c>
      <c r="E8" s="8" t="s">
        <v>45</v>
      </c>
      <c r="F8" s="8" t="n">
        <v>2019</v>
      </c>
      <c r="G8" s="9" t="n">
        <v>17.57</v>
      </c>
      <c r="H8" s="8" t="n">
        <v>89</v>
      </c>
      <c r="I8" s="10" t="b">
        <f aca="false">AND(OR($B$2="Any",$B$2="",B8=$B$2),OR($C$2="Any",$C$2="",D8=$C$2),OR($D$2="Any",$D$2="",E8=$D$2),OR($E$2="",G8&lt;=$E$2),OR($F$2="",H8&gt;=$F$2))</f>
        <v>1</v>
      </c>
    </row>
    <row r="9" customFormat="false" ht="15" hidden="false" customHeight="false" outlineLevel="0" collapsed="false">
      <c r="A9" s="8" t="s">
        <v>46</v>
      </c>
      <c r="B9" s="8" t="s">
        <v>47</v>
      </c>
      <c r="C9" s="8" t="s">
        <v>48</v>
      </c>
      <c r="D9" s="8" t="s">
        <v>31</v>
      </c>
      <c r="E9" s="8" t="s">
        <v>49</v>
      </c>
      <c r="F9" s="8" t="n">
        <v>2020</v>
      </c>
      <c r="G9" s="9" t="n">
        <v>31.72</v>
      </c>
      <c r="H9" s="8" t="n">
        <v>95</v>
      </c>
      <c r="I9" s="10" t="b">
        <f aca="false">AND(OR($B$2="Any",$B$2="",B9=$B$2),OR($C$2="Any",$C$2="",D9=$C$2),OR($D$2="Any",$D$2="",E9=$D$2),OR($E$2="",G9&lt;=$E$2),OR($F$2="",H9&gt;=$F$2))</f>
        <v>1</v>
      </c>
    </row>
    <row r="10" customFormat="false" ht="15" hidden="false" customHeight="false" outlineLevel="0" collapsed="false">
      <c r="A10" s="8" t="s">
        <v>50</v>
      </c>
      <c r="B10" s="8" t="s">
        <v>34</v>
      </c>
      <c r="C10" s="8" t="s">
        <v>35</v>
      </c>
      <c r="D10" s="8" t="s">
        <v>44</v>
      </c>
      <c r="E10" s="8" t="s">
        <v>51</v>
      </c>
      <c r="F10" s="8" t="n">
        <v>2019</v>
      </c>
      <c r="G10" s="9" t="n">
        <v>56.65</v>
      </c>
      <c r="H10" s="8" t="n">
        <v>97</v>
      </c>
      <c r="I10" s="10" t="b">
        <f aca="false">AND(OR($B$2="Any",$B$2="",B10=$B$2),OR($C$2="Any",$C$2="",D10=$C$2),OR($D$2="Any",$D$2="",E10=$D$2),OR($E$2="",G10&lt;=$E$2),OR($F$2="",H10&gt;=$F$2))</f>
        <v>1</v>
      </c>
    </row>
    <row r="11" customFormat="false" ht="15" hidden="false" customHeight="false" outlineLevel="0" collapsed="false">
      <c r="A11" s="8" t="s">
        <v>52</v>
      </c>
      <c r="B11" s="8" t="s">
        <v>53</v>
      </c>
      <c r="C11" s="8" t="s">
        <v>54</v>
      </c>
      <c r="D11" s="8" t="s">
        <v>31</v>
      </c>
      <c r="E11" s="8" t="s">
        <v>55</v>
      </c>
      <c r="F11" s="8" t="n">
        <v>2018</v>
      </c>
      <c r="G11" s="9" t="n">
        <v>69.48</v>
      </c>
      <c r="H11" s="8" t="n">
        <v>97</v>
      </c>
      <c r="I11" s="10" t="b">
        <f aca="false">AND(OR($B$2="Any",$B$2="",B11=$B$2),OR($C$2="Any",$C$2="",D11=$C$2),OR($D$2="Any",$D$2="",E11=$D$2),OR($E$2="",G11&lt;=$E$2),OR($F$2="",H11&gt;=$F$2))</f>
        <v>1</v>
      </c>
    </row>
    <row r="12" customFormat="false" ht="15" hidden="false" customHeight="false" outlineLevel="0" collapsed="false">
      <c r="A12" s="8" t="s">
        <v>56</v>
      </c>
      <c r="B12" s="8" t="s">
        <v>47</v>
      </c>
      <c r="C12" s="8" t="s">
        <v>48</v>
      </c>
      <c r="D12" s="8" t="s">
        <v>31</v>
      </c>
      <c r="E12" s="8" t="s">
        <v>57</v>
      </c>
      <c r="F12" s="8" t="n">
        <v>2020</v>
      </c>
      <c r="G12" s="9" t="n">
        <v>11.55</v>
      </c>
      <c r="H12" s="8" t="n">
        <v>94</v>
      </c>
      <c r="I12" s="10" t="b">
        <f aca="false">AND(OR($B$2="Any",$B$2="",B12=$B$2),OR($C$2="Any",$C$2="",D12=$C$2),OR($D$2="Any",$D$2="",E12=$D$2),OR($E$2="",G12&lt;=$E$2),OR($F$2="",H12&gt;=$F$2))</f>
        <v>1</v>
      </c>
    </row>
    <row r="13" customFormat="false" ht="15" hidden="false" customHeight="false" outlineLevel="0" collapsed="false">
      <c r="A13" s="8" t="s">
        <v>58</v>
      </c>
      <c r="B13" s="8" t="s">
        <v>29</v>
      </c>
      <c r="C13" s="8" t="s">
        <v>30</v>
      </c>
      <c r="D13" s="8" t="s">
        <v>36</v>
      </c>
      <c r="E13" s="8" t="s">
        <v>59</v>
      </c>
      <c r="F13" s="8" t="n">
        <v>2018</v>
      </c>
      <c r="G13" s="9" t="n">
        <v>11.79</v>
      </c>
      <c r="H13" s="8" t="n">
        <v>98</v>
      </c>
      <c r="I13" s="10" t="b">
        <f aca="false">AND(OR($B$2="Any",$B$2="",B13=$B$2),OR($C$2="Any",$C$2="",D13=$C$2),OR($D$2="Any",$D$2="",E13=$D$2),OR($E$2="",G13&lt;=$E$2),OR($F$2="",H13&gt;=$F$2))</f>
        <v>1</v>
      </c>
    </row>
    <row r="14" customFormat="false" ht="15" hidden="false" customHeight="false" outlineLevel="0" collapsed="false">
      <c r="A14" s="8" t="s">
        <v>60</v>
      </c>
      <c r="B14" s="8" t="s">
        <v>34</v>
      </c>
      <c r="C14" s="8" t="s">
        <v>35</v>
      </c>
      <c r="D14" s="8" t="s">
        <v>61</v>
      </c>
      <c r="E14" s="8" t="s">
        <v>62</v>
      </c>
      <c r="F14" s="8" t="n">
        <v>2015</v>
      </c>
      <c r="G14" s="9" t="n">
        <v>8.32</v>
      </c>
      <c r="H14" s="8" t="n">
        <v>89</v>
      </c>
      <c r="I14" s="10" t="b">
        <f aca="false">AND(OR($B$2="Any",$B$2="",B14=$B$2),OR($C$2="Any",$C$2="",D14=$C$2),OR($D$2="Any",$D$2="",E14=$D$2),OR($E$2="",G14&lt;=$E$2),OR($F$2="",H14&gt;=$F$2))</f>
        <v>1</v>
      </c>
    </row>
    <row r="15" customFormat="false" ht="15" hidden="false" customHeight="false" outlineLevel="0" collapsed="false">
      <c r="A15" s="8" t="s">
        <v>63</v>
      </c>
      <c r="B15" s="8" t="s">
        <v>64</v>
      </c>
      <c r="C15" s="8" t="s">
        <v>65</v>
      </c>
      <c r="D15" s="8" t="s">
        <v>31</v>
      </c>
      <c r="E15" s="8" t="s">
        <v>66</v>
      </c>
      <c r="F15" s="8" t="n">
        <v>2020</v>
      </c>
      <c r="G15" s="9" t="n">
        <v>12.99</v>
      </c>
      <c r="H15" s="8" t="n">
        <v>98</v>
      </c>
      <c r="I15" s="10" t="b">
        <f aca="false">AND(OR($B$2="Any",$B$2="",B15=$B$2),OR($C$2="Any",$C$2="",D15=$C$2),OR($D$2="Any",$D$2="",E15=$D$2),OR($E$2="",G15&lt;=$E$2),OR($F$2="",H15&gt;=$F$2))</f>
        <v>1</v>
      </c>
    </row>
    <row r="16" customFormat="false" ht="15" hidden="false" customHeight="false" outlineLevel="0" collapsed="false">
      <c r="A16" s="8" t="s">
        <v>67</v>
      </c>
      <c r="B16" s="8" t="s">
        <v>29</v>
      </c>
      <c r="C16" s="8" t="s">
        <v>68</v>
      </c>
      <c r="D16" s="8" t="s">
        <v>31</v>
      </c>
      <c r="E16" s="8" t="s">
        <v>32</v>
      </c>
      <c r="F16" s="8" t="n">
        <v>2017</v>
      </c>
      <c r="G16" s="9" t="n">
        <v>13.61</v>
      </c>
      <c r="H16" s="8" t="n">
        <v>88</v>
      </c>
      <c r="I16" s="10" t="b">
        <f aca="false">AND(OR($B$2="Any",$B$2="",B16=$B$2),OR($C$2="Any",$C$2="",D16=$C$2),OR($D$2="Any",$D$2="",E16=$D$2),OR($E$2="",G16&lt;=$E$2),OR($F$2="",H16&gt;=$F$2))</f>
        <v>1</v>
      </c>
    </row>
    <row r="17" customFormat="false" ht="15" hidden="false" customHeight="false" outlineLevel="0" collapsed="false">
      <c r="A17" s="8" t="s">
        <v>69</v>
      </c>
      <c r="B17" s="8" t="s">
        <v>53</v>
      </c>
      <c r="C17" s="8" t="s">
        <v>70</v>
      </c>
      <c r="D17" s="8" t="s">
        <v>36</v>
      </c>
      <c r="E17" s="8" t="s">
        <v>37</v>
      </c>
      <c r="F17" s="8" t="n">
        <v>2020</v>
      </c>
      <c r="G17" s="9" t="n">
        <v>17.98</v>
      </c>
      <c r="H17" s="8" t="n">
        <v>92</v>
      </c>
      <c r="I17" s="10" t="b">
        <f aca="false">AND(OR($B$2="Any",$B$2="",B17=$B$2),OR($C$2="Any",$C$2="",D17=$C$2),OR($D$2="Any",$D$2="",E17=$D$2),OR($E$2="",G17&lt;=$E$2),OR($F$2="",H17&gt;=$F$2))</f>
        <v>1</v>
      </c>
    </row>
    <row r="18" customFormat="false" ht="15" hidden="false" customHeight="false" outlineLevel="0" collapsed="false">
      <c r="A18" s="8" t="s">
        <v>71</v>
      </c>
      <c r="B18" s="8" t="s">
        <v>47</v>
      </c>
      <c r="C18" s="8" t="s">
        <v>72</v>
      </c>
      <c r="D18" s="8" t="s">
        <v>31</v>
      </c>
      <c r="E18" s="8" t="s">
        <v>59</v>
      </c>
      <c r="F18" s="8" t="n">
        <v>2017</v>
      </c>
      <c r="G18" s="9" t="n">
        <v>49.78</v>
      </c>
      <c r="H18" s="8" t="n">
        <v>85</v>
      </c>
      <c r="I18" s="10" t="b">
        <f aca="false">AND(OR($B$2="Any",$B$2="",B18=$B$2),OR($C$2="Any",$C$2="",D18=$C$2),OR($D$2="Any",$D$2="",E18=$D$2),OR($E$2="",G18&lt;=$E$2),OR($F$2="",H18&gt;=$F$2))</f>
        <v>1</v>
      </c>
    </row>
    <row r="19" customFormat="false" ht="15" hidden="false" customHeight="false" outlineLevel="0" collapsed="false">
      <c r="A19" s="8" t="s">
        <v>73</v>
      </c>
      <c r="B19" s="8" t="s">
        <v>74</v>
      </c>
      <c r="C19" s="8" t="s">
        <v>75</v>
      </c>
      <c r="D19" s="8" t="s">
        <v>44</v>
      </c>
      <c r="E19" s="8" t="s">
        <v>76</v>
      </c>
      <c r="F19" s="8" t="n">
        <v>2019</v>
      </c>
      <c r="G19" s="9" t="n">
        <v>151.77</v>
      </c>
      <c r="H19" s="8" t="n">
        <v>84</v>
      </c>
      <c r="I19" s="10" t="b">
        <f aca="false">AND(OR($B$2="Any",$B$2="",B19=$B$2),OR($C$2="Any",$C$2="",D19=$C$2),OR($D$2="Any",$D$2="",E19=$D$2),OR($E$2="",G19&lt;=$E$2),OR($F$2="",H19&gt;=$F$2))</f>
        <v>1</v>
      </c>
    </row>
    <row r="20" customFormat="false" ht="15" hidden="false" customHeight="false" outlineLevel="0" collapsed="false">
      <c r="A20" s="8" t="s">
        <v>77</v>
      </c>
      <c r="B20" s="8" t="s">
        <v>47</v>
      </c>
      <c r="C20" s="8" t="s">
        <v>78</v>
      </c>
      <c r="D20" s="8" t="s">
        <v>61</v>
      </c>
      <c r="E20" s="8" t="s">
        <v>62</v>
      </c>
      <c r="F20" s="8" t="n">
        <v>2016</v>
      </c>
      <c r="G20" s="9" t="n">
        <v>9.58</v>
      </c>
      <c r="H20" s="8" t="n">
        <v>84</v>
      </c>
      <c r="I20" s="10" t="b">
        <f aca="false">AND(OR($B$2="Any",$B$2="",B20=$B$2),OR($C$2="Any",$C$2="",D20=$C$2),OR($D$2="Any",$D$2="",E20=$D$2),OR($E$2="",G20&lt;=$E$2),OR($F$2="",H20&gt;=$F$2))</f>
        <v>1</v>
      </c>
    </row>
    <row r="21" customFormat="false" ht="15" hidden="false" customHeight="false" outlineLevel="0" collapsed="false">
      <c r="A21" s="8" t="s">
        <v>79</v>
      </c>
      <c r="B21" s="8" t="s">
        <v>64</v>
      </c>
      <c r="C21" s="8" t="s">
        <v>65</v>
      </c>
      <c r="D21" s="8" t="s">
        <v>80</v>
      </c>
      <c r="E21" s="8" t="s">
        <v>66</v>
      </c>
      <c r="F21" s="8" t="n">
        <v>2019</v>
      </c>
      <c r="G21" s="9" t="n">
        <v>52.77</v>
      </c>
      <c r="H21" s="8" t="n">
        <v>87</v>
      </c>
      <c r="I21" s="10" t="b">
        <f aca="false">AND(OR($B$2="Any",$B$2="",B21=$B$2),OR($C$2="Any",$C$2="",D21=$C$2),OR($D$2="Any",$D$2="",E21=$D$2),OR($E$2="",G21&lt;=$E$2),OR($F$2="",H21&gt;=$F$2))</f>
        <v>1</v>
      </c>
    </row>
    <row r="22" customFormat="false" ht="15" hidden="false" customHeight="false" outlineLevel="0" collapsed="false">
      <c r="A22" s="8" t="s">
        <v>81</v>
      </c>
      <c r="B22" s="8" t="s">
        <v>82</v>
      </c>
      <c r="C22" s="8" t="s">
        <v>83</v>
      </c>
      <c r="D22" s="8" t="s">
        <v>80</v>
      </c>
      <c r="E22" s="8" t="s">
        <v>66</v>
      </c>
      <c r="F22" s="8" t="n">
        <v>2020</v>
      </c>
      <c r="G22" s="9" t="n">
        <v>19.9</v>
      </c>
      <c r="H22" s="8" t="n">
        <v>89</v>
      </c>
      <c r="I22" s="10" t="b">
        <f aca="false">AND(OR($B$2="Any",$B$2="",B22=$B$2),OR($C$2="Any",$C$2="",D22=$C$2),OR($D$2="Any",$D$2="",E22=$D$2),OR($E$2="",G22&lt;=$E$2),OR($F$2="",H22&gt;=$F$2))</f>
        <v>1</v>
      </c>
    </row>
    <row r="23" customFormat="false" ht="15" hidden="false" customHeight="false" outlineLevel="0" collapsed="false">
      <c r="A23" s="8" t="s">
        <v>84</v>
      </c>
      <c r="B23" s="8" t="s">
        <v>64</v>
      </c>
      <c r="C23" s="8" t="s">
        <v>65</v>
      </c>
      <c r="D23" s="8" t="s">
        <v>31</v>
      </c>
      <c r="E23" s="8" t="s">
        <v>85</v>
      </c>
      <c r="F23" s="8" t="n">
        <v>2016</v>
      </c>
      <c r="G23" s="9" t="n">
        <v>12.86</v>
      </c>
      <c r="H23" s="8" t="n">
        <v>85</v>
      </c>
      <c r="I23" s="10" t="b">
        <f aca="false">AND(OR($B$2="Any",$B$2="",B23=$B$2),OR($C$2="Any",$C$2="",D23=$C$2),OR($D$2="Any",$D$2="",E23=$D$2),OR($E$2="",G23&lt;=$E$2),OR($F$2="",H23&gt;=$F$2))</f>
        <v>1</v>
      </c>
    </row>
    <row r="24" customFormat="false" ht="15" hidden="false" customHeight="false" outlineLevel="0" collapsed="false">
      <c r="A24" s="8" t="s">
        <v>86</v>
      </c>
      <c r="B24" s="8" t="s">
        <v>34</v>
      </c>
      <c r="C24" s="8" t="s">
        <v>35</v>
      </c>
      <c r="D24" s="8" t="s">
        <v>31</v>
      </c>
      <c r="E24" s="8" t="s">
        <v>57</v>
      </c>
      <c r="F24" s="8" t="n">
        <v>2017</v>
      </c>
      <c r="G24" s="9" t="n">
        <v>16.72</v>
      </c>
      <c r="H24" s="8" t="n">
        <v>90</v>
      </c>
      <c r="I24" s="10" t="b">
        <f aca="false">AND(OR($B$2="Any",$B$2="",B24=$B$2),OR($C$2="Any",$C$2="",D24=$C$2),OR($D$2="Any",$D$2="",E24=$D$2),OR($E$2="",G24&lt;=$E$2),OR($F$2="",H24&gt;=$F$2))</f>
        <v>1</v>
      </c>
    </row>
    <row r="25" customFormat="false" ht="15" hidden="false" customHeight="false" outlineLevel="0" collapsed="false">
      <c r="A25" s="8" t="s">
        <v>87</v>
      </c>
      <c r="B25" s="8" t="s">
        <v>34</v>
      </c>
      <c r="C25" s="8" t="s">
        <v>35</v>
      </c>
      <c r="D25" s="8" t="s">
        <v>31</v>
      </c>
      <c r="E25" s="8" t="s">
        <v>88</v>
      </c>
      <c r="F25" s="8" t="n">
        <v>2020</v>
      </c>
      <c r="G25" s="9" t="n">
        <v>26.8</v>
      </c>
      <c r="H25" s="8" t="n">
        <v>85</v>
      </c>
      <c r="I25" s="10" t="b">
        <f aca="false">AND(OR($B$2="Any",$B$2="",B25=$B$2),OR($C$2="Any",$C$2="",D25=$C$2),OR($D$2="Any",$D$2="",E25=$D$2),OR($E$2="",G25&lt;=$E$2),OR($F$2="",H25&gt;=$F$2))</f>
        <v>1</v>
      </c>
    </row>
    <row r="26" customFormat="false" ht="15" hidden="false" customHeight="false" outlineLevel="0" collapsed="false">
      <c r="A26" s="8" t="s">
        <v>89</v>
      </c>
      <c r="B26" s="8" t="s">
        <v>90</v>
      </c>
      <c r="C26" s="8" t="s">
        <v>91</v>
      </c>
      <c r="D26" s="8" t="s">
        <v>44</v>
      </c>
      <c r="E26" s="8" t="s">
        <v>51</v>
      </c>
      <c r="F26" s="8" t="n">
        <v>2018</v>
      </c>
      <c r="G26" s="9" t="n">
        <v>18.12</v>
      </c>
      <c r="H26" s="8" t="n">
        <v>95</v>
      </c>
      <c r="I26" s="10" t="b">
        <f aca="false">AND(OR($B$2="Any",$B$2="",B26=$B$2),OR($C$2="Any",$C$2="",D26=$C$2),OR($D$2="Any",$D$2="",E26=$D$2),OR($E$2="",G26&lt;=$E$2),OR($F$2="",H26&gt;=$F$2))</f>
        <v>1</v>
      </c>
    </row>
    <row r="27" customFormat="false" ht="15" hidden="false" customHeight="false" outlineLevel="0" collapsed="false">
      <c r="A27" s="8" t="s">
        <v>92</v>
      </c>
      <c r="B27" s="8" t="s">
        <v>39</v>
      </c>
      <c r="C27" s="8" t="s">
        <v>43</v>
      </c>
      <c r="D27" s="8" t="s">
        <v>31</v>
      </c>
      <c r="E27" s="8" t="s">
        <v>55</v>
      </c>
      <c r="F27" s="8" t="n">
        <v>2020</v>
      </c>
      <c r="G27" s="9" t="n">
        <v>10.38</v>
      </c>
      <c r="H27" s="8" t="n">
        <v>94</v>
      </c>
      <c r="I27" s="10" t="b">
        <f aca="false">AND(OR($B$2="Any",$B$2="",B27=$B$2),OR($C$2="Any",$C$2="",D27=$C$2),OR($D$2="Any",$D$2="",E27=$D$2),OR($E$2="",G27&lt;=$E$2),OR($F$2="",H27&gt;=$F$2))</f>
        <v>1</v>
      </c>
    </row>
    <row r="28" customFormat="false" ht="15" hidden="false" customHeight="false" outlineLevel="0" collapsed="false">
      <c r="A28" s="8" t="s">
        <v>93</v>
      </c>
      <c r="B28" s="8" t="s">
        <v>90</v>
      </c>
      <c r="C28" s="8" t="s">
        <v>94</v>
      </c>
      <c r="D28" s="8" t="s">
        <v>31</v>
      </c>
      <c r="E28" s="8" t="s">
        <v>66</v>
      </c>
      <c r="F28" s="8" t="n">
        <v>2022</v>
      </c>
      <c r="G28" s="9" t="n">
        <v>12.73</v>
      </c>
      <c r="H28" s="8" t="n">
        <v>90</v>
      </c>
      <c r="I28" s="10" t="b">
        <f aca="false">AND(OR($B$2="Any",$B$2="",B28=$B$2),OR($C$2="Any",$C$2="",D28=$C$2),OR($D$2="Any",$D$2="",E28=$D$2),OR($E$2="",G28&lt;=$E$2),OR($F$2="",H28&gt;=$F$2))</f>
        <v>1</v>
      </c>
    </row>
    <row r="29" customFormat="false" ht="15" hidden="false" customHeight="false" outlineLevel="0" collapsed="false">
      <c r="A29" s="8" t="s">
        <v>95</v>
      </c>
      <c r="B29" s="8" t="s">
        <v>47</v>
      </c>
      <c r="C29" s="8" t="s">
        <v>72</v>
      </c>
      <c r="D29" s="8" t="s">
        <v>61</v>
      </c>
      <c r="E29" s="8" t="s">
        <v>62</v>
      </c>
      <c r="F29" s="8" t="n">
        <v>2020</v>
      </c>
      <c r="G29" s="9" t="n">
        <v>25.94</v>
      </c>
      <c r="H29" s="8" t="n">
        <v>95</v>
      </c>
      <c r="I29" s="10" t="b">
        <f aca="false">AND(OR($B$2="Any",$B$2="",B29=$B$2),OR($C$2="Any",$C$2="",D29=$C$2),OR($D$2="Any",$D$2="",E29=$D$2),OR($E$2="",G29&lt;=$E$2),OR($F$2="",H29&gt;=$F$2))</f>
        <v>1</v>
      </c>
    </row>
    <row r="30" customFormat="false" ht="15" hidden="false" customHeight="false" outlineLevel="0" collapsed="false">
      <c r="A30" s="8" t="s">
        <v>96</v>
      </c>
      <c r="B30" s="8" t="s">
        <v>29</v>
      </c>
      <c r="C30" s="8" t="s">
        <v>30</v>
      </c>
      <c r="D30" s="8" t="s">
        <v>31</v>
      </c>
      <c r="E30" s="8" t="s">
        <v>88</v>
      </c>
      <c r="F30" s="8" t="n">
        <v>2020</v>
      </c>
      <c r="G30" s="9" t="n">
        <v>38.82</v>
      </c>
      <c r="H30" s="8" t="n">
        <v>87</v>
      </c>
      <c r="I30" s="10" t="b">
        <f aca="false">AND(OR($B$2="Any",$B$2="",B30=$B$2),OR($C$2="Any",$C$2="",D30=$C$2),OR($D$2="Any",$D$2="",E30=$D$2),OR($E$2="",G30&lt;=$E$2),OR($F$2="",H30&gt;=$F$2))</f>
        <v>1</v>
      </c>
    </row>
    <row r="31" customFormat="false" ht="15" hidden="false" customHeight="false" outlineLevel="0" collapsed="false">
      <c r="A31" s="8" t="s">
        <v>97</v>
      </c>
      <c r="B31" s="8" t="s">
        <v>34</v>
      </c>
      <c r="C31" s="8" t="s">
        <v>98</v>
      </c>
      <c r="D31" s="8" t="s">
        <v>31</v>
      </c>
      <c r="E31" s="8" t="s">
        <v>88</v>
      </c>
      <c r="F31" s="8" t="n">
        <v>2017</v>
      </c>
      <c r="G31" s="9" t="n">
        <v>10.5</v>
      </c>
      <c r="H31" s="8" t="n">
        <v>98</v>
      </c>
      <c r="I31" s="10" t="b">
        <f aca="false">AND(OR($B$2="Any",$B$2="",B31=$B$2),OR($C$2="Any",$C$2="",D31=$C$2),OR($D$2="Any",$D$2="",E31=$D$2),OR($E$2="",G31&lt;=$E$2),OR($F$2="",H31&gt;=$F$2))</f>
        <v>1</v>
      </c>
    </row>
    <row r="32" customFormat="false" ht="15" hidden="false" customHeight="false" outlineLevel="0" collapsed="false">
      <c r="A32" s="8" t="s">
        <v>99</v>
      </c>
      <c r="B32" s="8" t="s">
        <v>100</v>
      </c>
      <c r="C32" s="8" t="s">
        <v>101</v>
      </c>
      <c r="D32" s="8" t="s">
        <v>31</v>
      </c>
      <c r="E32" s="8" t="s">
        <v>41</v>
      </c>
      <c r="F32" s="8" t="n">
        <v>2015</v>
      </c>
      <c r="G32" s="9" t="n">
        <v>158</v>
      </c>
      <c r="H32" s="8" t="n">
        <v>97</v>
      </c>
      <c r="I32" s="10" t="b">
        <f aca="false">AND(OR($B$2="Any",$B$2="",B32=$B$2),OR($C$2="Any",$C$2="",D32=$C$2),OR($D$2="Any",$D$2="",E32=$D$2),OR($E$2="",G32&lt;=$E$2),OR($F$2="",H32&gt;=$F$2))</f>
        <v>1</v>
      </c>
    </row>
    <row r="33" customFormat="false" ht="15" hidden="false" customHeight="false" outlineLevel="0" collapsed="false">
      <c r="A33" s="8" t="s">
        <v>102</v>
      </c>
      <c r="B33" s="8" t="s">
        <v>103</v>
      </c>
      <c r="C33" s="8" t="s">
        <v>104</v>
      </c>
      <c r="D33" s="8" t="s">
        <v>44</v>
      </c>
      <c r="E33" s="8" t="s">
        <v>105</v>
      </c>
      <c r="F33" s="8" t="n">
        <v>2018</v>
      </c>
      <c r="G33" s="9" t="n">
        <v>66.59</v>
      </c>
      <c r="H33" s="8" t="n">
        <v>86</v>
      </c>
      <c r="I33" s="10" t="b">
        <f aca="false">AND(OR($B$2="Any",$B$2="",B33=$B$2),OR($C$2="Any",$C$2="",D33=$C$2),OR($D$2="Any",$D$2="",E33=$D$2),OR($E$2="",G33&lt;=$E$2),OR($F$2="",H33&gt;=$F$2))</f>
        <v>1</v>
      </c>
    </row>
    <row r="34" customFormat="false" ht="15" hidden="false" customHeight="false" outlineLevel="0" collapsed="false">
      <c r="A34" s="8" t="s">
        <v>106</v>
      </c>
      <c r="B34" s="8" t="s">
        <v>39</v>
      </c>
      <c r="C34" s="8" t="s">
        <v>107</v>
      </c>
      <c r="D34" s="8" t="s">
        <v>31</v>
      </c>
      <c r="E34" s="8" t="s">
        <v>57</v>
      </c>
      <c r="F34" s="8" t="n">
        <v>2019</v>
      </c>
      <c r="G34" s="9" t="n">
        <v>34.27</v>
      </c>
      <c r="H34" s="8" t="n">
        <v>96</v>
      </c>
      <c r="I34" s="10" t="b">
        <f aca="false">AND(OR($B$2="Any",$B$2="",B34=$B$2),OR($C$2="Any",$C$2="",D34=$C$2),OR($D$2="Any",$D$2="",E34=$D$2),OR($E$2="",G34&lt;=$E$2),OR($F$2="",H34&gt;=$F$2))</f>
        <v>1</v>
      </c>
    </row>
    <row r="35" customFormat="false" ht="15" hidden="false" customHeight="false" outlineLevel="0" collapsed="false">
      <c r="A35" s="8" t="s">
        <v>108</v>
      </c>
      <c r="B35" s="8" t="s">
        <v>29</v>
      </c>
      <c r="C35" s="8" t="s">
        <v>68</v>
      </c>
      <c r="D35" s="8" t="s">
        <v>31</v>
      </c>
      <c r="E35" s="8" t="s">
        <v>85</v>
      </c>
      <c r="F35" s="8" t="n">
        <v>2019</v>
      </c>
      <c r="G35" s="9" t="n">
        <v>8.58</v>
      </c>
      <c r="H35" s="8" t="n">
        <v>95</v>
      </c>
      <c r="I35" s="10" t="b">
        <f aca="false">AND(OR($B$2="Any",$B$2="",B35=$B$2),OR($C$2="Any",$C$2="",D35=$C$2),OR($D$2="Any",$D$2="",E35=$D$2),OR($E$2="",G35&lt;=$E$2),OR($F$2="",H35&gt;=$F$2))</f>
        <v>1</v>
      </c>
    </row>
    <row r="36" customFormat="false" ht="15" hidden="false" customHeight="false" outlineLevel="0" collapsed="false">
      <c r="A36" s="8" t="s">
        <v>109</v>
      </c>
      <c r="B36" s="8" t="s">
        <v>39</v>
      </c>
      <c r="C36" s="8" t="s">
        <v>110</v>
      </c>
      <c r="D36" s="8" t="s">
        <v>44</v>
      </c>
      <c r="E36" s="8" t="s">
        <v>51</v>
      </c>
      <c r="F36" s="8" t="n">
        <v>2015</v>
      </c>
      <c r="G36" s="9" t="n">
        <v>26.55</v>
      </c>
      <c r="H36" s="8" t="n">
        <v>97</v>
      </c>
      <c r="I36" s="10" t="b">
        <f aca="false">AND(OR($B$2="Any",$B$2="",B36=$B$2),OR($C$2="Any",$C$2="",D36=$C$2),OR($D$2="Any",$D$2="",E36=$D$2),OR($E$2="",G36&lt;=$E$2),OR($F$2="",H36&gt;=$F$2))</f>
        <v>1</v>
      </c>
    </row>
    <row r="37" customFormat="false" ht="15" hidden="false" customHeight="false" outlineLevel="0" collapsed="false">
      <c r="A37" s="8" t="s">
        <v>111</v>
      </c>
      <c r="B37" s="8" t="s">
        <v>103</v>
      </c>
      <c r="C37" s="8" t="s">
        <v>112</v>
      </c>
      <c r="D37" s="8" t="s">
        <v>80</v>
      </c>
      <c r="E37" s="8" t="s">
        <v>66</v>
      </c>
      <c r="F37" s="8" t="n">
        <v>2017</v>
      </c>
      <c r="G37" s="9" t="n">
        <v>8.68</v>
      </c>
      <c r="H37" s="8" t="n">
        <v>97</v>
      </c>
      <c r="I37" s="10" t="b">
        <f aca="false">AND(OR($B$2="Any",$B$2="",B37=$B$2),OR($C$2="Any",$C$2="",D37=$C$2),OR($D$2="Any",$D$2="",E37=$D$2),OR($E$2="",G37&lt;=$E$2),OR($F$2="",H37&gt;=$F$2))</f>
        <v>1</v>
      </c>
    </row>
    <row r="38" customFormat="false" ht="15" hidden="false" customHeight="false" outlineLevel="0" collapsed="false">
      <c r="A38" s="8" t="s">
        <v>113</v>
      </c>
      <c r="B38" s="8" t="s">
        <v>74</v>
      </c>
      <c r="C38" s="8" t="s">
        <v>114</v>
      </c>
      <c r="D38" s="8" t="s">
        <v>36</v>
      </c>
      <c r="E38" s="8" t="s">
        <v>59</v>
      </c>
      <c r="F38" s="8" t="n">
        <v>2015</v>
      </c>
      <c r="G38" s="9" t="n">
        <v>25.13</v>
      </c>
      <c r="H38" s="8" t="n">
        <v>93</v>
      </c>
      <c r="I38" s="10" t="b">
        <f aca="false">AND(OR($B$2="Any",$B$2="",B38=$B$2),OR($C$2="Any",$C$2="",D38=$C$2),OR($D$2="Any",$D$2="",E38=$D$2),OR($E$2="",G38&lt;=$E$2),OR($F$2="",H38&gt;=$F$2))</f>
        <v>1</v>
      </c>
    </row>
    <row r="39" customFormat="false" ht="15" hidden="false" customHeight="false" outlineLevel="0" collapsed="false">
      <c r="A39" s="8" t="s">
        <v>115</v>
      </c>
      <c r="B39" s="8" t="s">
        <v>34</v>
      </c>
      <c r="C39" s="8" t="s">
        <v>98</v>
      </c>
      <c r="D39" s="8" t="s">
        <v>31</v>
      </c>
      <c r="E39" s="8" t="s">
        <v>85</v>
      </c>
      <c r="F39" s="8" t="n">
        <v>2020</v>
      </c>
      <c r="G39" s="9" t="n">
        <v>11.96</v>
      </c>
      <c r="H39" s="8" t="n">
        <v>94</v>
      </c>
      <c r="I39" s="10" t="b">
        <f aca="false">AND(OR($B$2="Any",$B$2="",B39=$B$2),OR($C$2="Any",$C$2="",D39=$C$2),OR($D$2="Any",$D$2="",E39=$D$2),OR($E$2="",G39&lt;=$E$2),OR($F$2="",H39&gt;=$F$2))</f>
        <v>1</v>
      </c>
    </row>
    <row r="40" customFormat="false" ht="15" hidden="false" customHeight="false" outlineLevel="0" collapsed="false">
      <c r="A40" s="8" t="s">
        <v>116</v>
      </c>
      <c r="B40" s="8" t="s">
        <v>64</v>
      </c>
      <c r="C40" s="8" t="s">
        <v>117</v>
      </c>
      <c r="D40" s="8" t="s">
        <v>44</v>
      </c>
      <c r="E40" s="8" t="s">
        <v>37</v>
      </c>
      <c r="F40" s="8" t="n">
        <v>2016</v>
      </c>
      <c r="G40" s="9" t="n">
        <v>14.21</v>
      </c>
      <c r="H40" s="8" t="n">
        <v>93</v>
      </c>
      <c r="I40" s="10" t="b">
        <f aca="false">AND(OR($B$2="Any",$B$2="",B40=$B$2),OR($C$2="Any",$C$2="",D40=$C$2),OR($D$2="Any",$D$2="",E40=$D$2),OR($E$2="",G40&lt;=$E$2),OR($F$2="",H40&gt;=$F$2))</f>
        <v>1</v>
      </c>
    </row>
    <row r="41" customFormat="false" ht="15" hidden="false" customHeight="false" outlineLevel="0" collapsed="false">
      <c r="A41" s="8" t="s">
        <v>118</v>
      </c>
      <c r="B41" s="8" t="s">
        <v>47</v>
      </c>
      <c r="C41" s="8" t="s">
        <v>119</v>
      </c>
      <c r="D41" s="8" t="s">
        <v>80</v>
      </c>
      <c r="E41" s="8" t="s">
        <v>59</v>
      </c>
      <c r="F41" s="8" t="n">
        <v>2017</v>
      </c>
      <c r="G41" s="9" t="n">
        <v>153.68</v>
      </c>
      <c r="H41" s="8" t="n">
        <v>98</v>
      </c>
      <c r="I41" s="10" t="b">
        <f aca="false">AND(OR($B$2="Any",$B$2="",B41=$B$2),OR($C$2="Any",$C$2="",D41=$C$2),OR($D$2="Any",$D$2="",E41=$D$2),OR($E$2="",G41&lt;=$E$2),OR($F$2="",H41&gt;=$F$2))</f>
        <v>1</v>
      </c>
    </row>
    <row r="42" customFormat="false" ht="15" hidden="false" customHeight="false" outlineLevel="0" collapsed="false">
      <c r="A42" s="8" t="s">
        <v>120</v>
      </c>
      <c r="B42" s="8" t="s">
        <v>82</v>
      </c>
      <c r="C42" s="8" t="s">
        <v>121</v>
      </c>
      <c r="D42" s="8" t="s">
        <v>31</v>
      </c>
      <c r="E42" s="8" t="s">
        <v>57</v>
      </c>
      <c r="F42" s="8" t="n">
        <v>2019</v>
      </c>
      <c r="G42" s="9" t="n">
        <v>34.78</v>
      </c>
      <c r="H42" s="8" t="n">
        <v>94</v>
      </c>
      <c r="I42" s="10" t="b">
        <f aca="false">AND(OR($B$2="Any",$B$2="",B42=$B$2),OR($C$2="Any",$C$2="",D42=$C$2),OR($D$2="Any",$D$2="",E42=$D$2),OR($E$2="",G42&lt;=$E$2),OR($F$2="",H42&gt;=$F$2))</f>
        <v>1</v>
      </c>
    </row>
    <row r="43" customFormat="false" ht="15" hidden="false" customHeight="false" outlineLevel="0" collapsed="false">
      <c r="A43" s="8" t="s">
        <v>122</v>
      </c>
      <c r="B43" s="8" t="s">
        <v>39</v>
      </c>
      <c r="C43" s="8" t="s">
        <v>110</v>
      </c>
      <c r="D43" s="8" t="s">
        <v>80</v>
      </c>
      <c r="E43" s="8" t="s">
        <v>59</v>
      </c>
      <c r="F43" s="8" t="n">
        <v>2016</v>
      </c>
      <c r="G43" s="9" t="n">
        <v>82.76</v>
      </c>
      <c r="H43" s="8" t="n">
        <v>85</v>
      </c>
      <c r="I43" s="10" t="b">
        <f aca="false">AND(OR($B$2="Any",$B$2="",B43=$B$2),OR($C$2="Any",$C$2="",D43=$C$2),OR($D$2="Any",$D$2="",E43=$D$2),OR($E$2="",G43&lt;=$E$2),OR($F$2="",H43&gt;=$F$2))</f>
        <v>1</v>
      </c>
    </row>
    <row r="44" customFormat="false" ht="15" hidden="false" customHeight="false" outlineLevel="0" collapsed="false">
      <c r="A44" s="8" t="s">
        <v>123</v>
      </c>
      <c r="B44" s="8" t="s">
        <v>47</v>
      </c>
      <c r="C44" s="8" t="s">
        <v>119</v>
      </c>
      <c r="D44" s="8" t="s">
        <v>31</v>
      </c>
      <c r="E44" s="8" t="s">
        <v>32</v>
      </c>
      <c r="F44" s="8" t="n">
        <v>2018</v>
      </c>
      <c r="G44" s="9" t="n">
        <v>42.13</v>
      </c>
      <c r="H44" s="8" t="n">
        <v>94</v>
      </c>
      <c r="I44" s="10" t="b">
        <f aca="false">AND(OR($B$2="Any",$B$2="",B44=$B$2),OR($C$2="Any",$C$2="",D44=$C$2),OR($D$2="Any",$D$2="",E44=$D$2),OR($E$2="",G44&lt;=$E$2),OR($F$2="",H44&gt;=$F$2))</f>
        <v>1</v>
      </c>
    </row>
    <row r="45" customFormat="false" ht="15" hidden="false" customHeight="false" outlineLevel="0" collapsed="false">
      <c r="A45" s="8" t="s">
        <v>124</v>
      </c>
      <c r="B45" s="8" t="s">
        <v>64</v>
      </c>
      <c r="C45" s="8" t="s">
        <v>117</v>
      </c>
      <c r="D45" s="8" t="s">
        <v>31</v>
      </c>
      <c r="E45" s="8" t="s">
        <v>55</v>
      </c>
      <c r="F45" s="8" t="n">
        <v>2016</v>
      </c>
      <c r="G45" s="9" t="n">
        <v>32.1</v>
      </c>
      <c r="H45" s="8" t="n">
        <v>84</v>
      </c>
      <c r="I45" s="10" t="b">
        <f aca="false">AND(OR($B$2="Any",$B$2="",B45=$B$2),OR($C$2="Any",$C$2="",D45=$C$2),OR($D$2="Any",$D$2="",E45=$D$2),OR($E$2="",G45&lt;=$E$2),OR($F$2="",H45&gt;=$F$2))</f>
        <v>1</v>
      </c>
    </row>
    <row r="46" customFormat="false" ht="15" hidden="false" customHeight="false" outlineLevel="0" collapsed="false">
      <c r="A46" s="8" t="s">
        <v>125</v>
      </c>
      <c r="B46" s="8" t="s">
        <v>82</v>
      </c>
      <c r="C46" s="8" t="s">
        <v>83</v>
      </c>
      <c r="D46" s="8" t="s">
        <v>61</v>
      </c>
      <c r="E46" s="8" t="s">
        <v>62</v>
      </c>
      <c r="F46" s="8" t="n">
        <v>2017</v>
      </c>
      <c r="G46" s="9" t="n">
        <v>54.31</v>
      </c>
      <c r="H46" s="8" t="n">
        <v>90</v>
      </c>
      <c r="I46" s="10" t="b">
        <f aca="false">AND(OR($B$2="Any",$B$2="",B46=$B$2),OR($C$2="Any",$C$2="",D46=$C$2),OR($D$2="Any",$D$2="",E46=$D$2),OR($E$2="",G46&lt;=$E$2),OR($F$2="",H46&gt;=$F$2))</f>
        <v>1</v>
      </c>
    </row>
    <row r="47" customFormat="false" ht="15" hidden="false" customHeight="false" outlineLevel="0" collapsed="false">
      <c r="A47" s="8" t="s">
        <v>126</v>
      </c>
      <c r="B47" s="8" t="s">
        <v>39</v>
      </c>
      <c r="C47" s="8" t="s">
        <v>127</v>
      </c>
      <c r="D47" s="8" t="s">
        <v>31</v>
      </c>
      <c r="E47" s="8" t="s">
        <v>59</v>
      </c>
      <c r="F47" s="8" t="n">
        <v>2015</v>
      </c>
      <c r="G47" s="9" t="n">
        <v>55.39</v>
      </c>
      <c r="H47" s="8" t="n">
        <v>86</v>
      </c>
      <c r="I47" s="10" t="b">
        <f aca="false">AND(OR($B$2="Any",$B$2="",B47=$B$2),OR($C$2="Any",$C$2="",D47=$C$2),OR($D$2="Any",$D$2="",E47=$D$2),OR($E$2="",G47&lt;=$E$2),OR($F$2="",H47&gt;=$F$2))</f>
        <v>1</v>
      </c>
    </row>
    <row r="48" customFormat="false" ht="15" hidden="false" customHeight="false" outlineLevel="0" collapsed="false">
      <c r="A48" s="8" t="s">
        <v>128</v>
      </c>
      <c r="B48" s="8" t="s">
        <v>103</v>
      </c>
      <c r="C48" s="8" t="s">
        <v>112</v>
      </c>
      <c r="D48" s="8" t="s">
        <v>31</v>
      </c>
      <c r="E48" s="8" t="s">
        <v>49</v>
      </c>
      <c r="F48" s="8" t="n">
        <v>2015</v>
      </c>
      <c r="G48" s="9" t="n">
        <v>42.35</v>
      </c>
      <c r="H48" s="8" t="n">
        <v>87</v>
      </c>
      <c r="I48" s="10" t="b">
        <f aca="false">AND(OR($B$2="Any",$B$2="",B48=$B$2),OR($C$2="Any",$C$2="",D48=$C$2),OR($D$2="Any",$D$2="",E48=$D$2),OR($E$2="",G48&lt;=$E$2),OR($F$2="",H48&gt;=$F$2))</f>
        <v>1</v>
      </c>
    </row>
    <row r="49" customFormat="false" ht="15" hidden="false" customHeight="false" outlineLevel="0" collapsed="false">
      <c r="A49" s="8" t="s">
        <v>129</v>
      </c>
      <c r="B49" s="8" t="s">
        <v>47</v>
      </c>
      <c r="C49" s="8" t="s">
        <v>78</v>
      </c>
      <c r="D49" s="8" t="s">
        <v>80</v>
      </c>
      <c r="E49" s="8" t="s">
        <v>85</v>
      </c>
      <c r="F49" s="8" t="n">
        <v>2017</v>
      </c>
      <c r="G49" s="9" t="n">
        <v>92.49</v>
      </c>
      <c r="H49" s="8" t="n">
        <v>86</v>
      </c>
      <c r="I49" s="10" t="b">
        <f aca="false">AND(OR($B$2="Any",$B$2="",B49=$B$2),OR($C$2="Any",$C$2="",D49=$C$2),OR($D$2="Any",$D$2="",E49=$D$2),OR($E$2="",G49&lt;=$E$2),OR($F$2="",H49&gt;=$F$2))</f>
        <v>1</v>
      </c>
    </row>
    <row r="50" customFormat="false" ht="15" hidden="false" customHeight="false" outlineLevel="0" collapsed="false">
      <c r="A50" s="8" t="s">
        <v>130</v>
      </c>
      <c r="B50" s="8" t="s">
        <v>103</v>
      </c>
      <c r="C50" s="8" t="s">
        <v>104</v>
      </c>
      <c r="D50" s="8" t="s">
        <v>31</v>
      </c>
      <c r="E50" s="8" t="s">
        <v>59</v>
      </c>
      <c r="F50" s="8" t="n">
        <v>2020</v>
      </c>
      <c r="G50" s="9" t="n">
        <v>49.41</v>
      </c>
      <c r="H50" s="8" t="n">
        <v>94</v>
      </c>
      <c r="I50" s="10" t="b">
        <f aca="false">AND(OR($B$2="Any",$B$2="",B50=$B$2),OR($C$2="Any",$C$2="",D50=$C$2),OR($D$2="Any",$D$2="",E50=$D$2),OR($E$2="",G50&lt;=$E$2),OR($F$2="",H50&gt;=$F$2))</f>
        <v>1</v>
      </c>
    </row>
    <row r="51" customFormat="false" ht="15" hidden="false" customHeight="false" outlineLevel="0" collapsed="false">
      <c r="A51" s="8" t="s">
        <v>131</v>
      </c>
      <c r="B51" s="8" t="s">
        <v>90</v>
      </c>
      <c r="C51" s="8" t="s">
        <v>132</v>
      </c>
      <c r="D51" s="8" t="s">
        <v>31</v>
      </c>
      <c r="E51" s="8" t="s">
        <v>133</v>
      </c>
      <c r="F51" s="8" t="n">
        <v>2021</v>
      </c>
      <c r="G51" s="9" t="n">
        <v>65.05</v>
      </c>
      <c r="H51" s="8" t="n">
        <v>87</v>
      </c>
      <c r="I51" s="10" t="b">
        <f aca="false">AND(OR($B$2="Any",$B$2="",B51=$B$2),OR($C$2="Any",$C$2="",D51=$C$2),OR($D$2="Any",$D$2="",E51=$D$2),OR($E$2="",G51&lt;=$E$2),OR($F$2="",H51&gt;=$F$2))</f>
        <v>1</v>
      </c>
    </row>
    <row r="52" customFormat="false" ht="15" hidden="false" customHeight="false" outlineLevel="0" collapsed="false">
      <c r="A52" s="8" t="s">
        <v>134</v>
      </c>
      <c r="B52" s="8" t="s">
        <v>100</v>
      </c>
      <c r="C52" s="8" t="s">
        <v>135</v>
      </c>
      <c r="D52" s="8" t="s">
        <v>31</v>
      </c>
      <c r="E52" s="8" t="s">
        <v>85</v>
      </c>
      <c r="F52" s="8" t="n">
        <v>2018</v>
      </c>
      <c r="G52" s="9" t="n">
        <v>9.93</v>
      </c>
      <c r="H52" s="8" t="n">
        <v>89</v>
      </c>
      <c r="I52" s="10" t="b">
        <f aca="false">AND(OR($B$2="Any",$B$2="",B52=$B$2),OR($C$2="Any",$C$2="",D52=$C$2),OR($D$2="Any",$D$2="",E52=$D$2),OR($E$2="",G52&lt;=$E$2),OR($F$2="",H52&gt;=$F$2))</f>
        <v>1</v>
      </c>
    </row>
    <row r="53" customFormat="false" ht="15" hidden="false" customHeight="false" outlineLevel="0" collapsed="false">
      <c r="A53" s="8" t="s">
        <v>136</v>
      </c>
      <c r="B53" s="8" t="s">
        <v>47</v>
      </c>
      <c r="C53" s="8" t="s">
        <v>78</v>
      </c>
      <c r="D53" s="8" t="s">
        <v>44</v>
      </c>
      <c r="E53" s="8" t="s">
        <v>137</v>
      </c>
      <c r="F53" s="8" t="n">
        <v>2021</v>
      </c>
      <c r="G53" s="9" t="n">
        <v>32.34</v>
      </c>
      <c r="H53" s="8" t="n">
        <v>89</v>
      </c>
      <c r="I53" s="10" t="b">
        <f aca="false">AND(OR($B$2="Any",$B$2="",B53=$B$2),OR($C$2="Any",$C$2="",D53=$C$2),OR($D$2="Any",$D$2="",E53=$D$2),OR($E$2="",G53&lt;=$E$2),OR($F$2="",H53&gt;=$F$2))</f>
        <v>1</v>
      </c>
    </row>
    <row r="54" customFormat="false" ht="15" hidden="false" customHeight="false" outlineLevel="0" collapsed="false">
      <c r="A54" s="8" t="s">
        <v>138</v>
      </c>
      <c r="B54" s="8" t="s">
        <v>47</v>
      </c>
      <c r="C54" s="8" t="s">
        <v>78</v>
      </c>
      <c r="D54" s="8" t="s">
        <v>31</v>
      </c>
      <c r="E54" s="8" t="s">
        <v>66</v>
      </c>
      <c r="F54" s="8" t="n">
        <v>2019</v>
      </c>
      <c r="G54" s="9" t="n">
        <v>13.97</v>
      </c>
      <c r="H54" s="8" t="n">
        <v>89</v>
      </c>
      <c r="I54" s="10" t="b">
        <f aca="false">AND(OR($B$2="Any",$B$2="",B54=$B$2),OR($C$2="Any",$C$2="",D54=$C$2),OR($D$2="Any",$D$2="",E54=$D$2),OR($E$2="",G54&lt;=$E$2),OR($F$2="",H54&gt;=$F$2))</f>
        <v>1</v>
      </c>
    </row>
    <row r="55" customFormat="false" ht="15" hidden="false" customHeight="false" outlineLevel="0" collapsed="false">
      <c r="A55" s="8" t="s">
        <v>139</v>
      </c>
      <c r="B55" s="8" t="s">
        <v>82</v>
      </c>
      <c r="C55" s="8" t="s">
        <v>121</v>
      </c>
      <c r="D55" s="8" t="s">
        <v>36</v>
      </c>
      <c r="E55" s="8" t="s">
        <v>51</v>
      </c>
      <c r="F55" s="8" t="n">
        <v>2021</v>
      </c>
      <c r="G55" s="9" t="n">
        <v>41.65</v>
      </c>
      <c r="H55" s="8" t="n">
        <v>84</v>
      </c>
      <c r="I55" s="10" t="b">
        <f aca="false">AND(OR($B$2="Any",$B$2="",B55=$B$2),OR($C$2="Any",$C$2="",D55=$C$2),OR($D$2="Any",$D$2="",E55=$D$2),OR($E$2="",G55&lt;=$E$2),OR($F$2="",H55&gt;=$F$2))</f>
        <v>1</v>
      </c>
    </row>
    <row r="56" customFormat="false" ht="15" hidden="false" customHeight="false" outlineLevel="0" collapsed="false">
      <c r="A56" s="8" t="s">
        <v>140</v>
      </c>
      <c r="B56" s="8" t="s">
        <v>74</v>
      </c>
      <c r="C56" s="8" t="s">
        <v>114</v>
      </c>
      <c r="D56" s="8" t="s">
        <v>80</v>
      </c>
      <c r="E56" s="8" t="s">
        <v>141</v>
      </c>
      <c r="F56" s="8" t="n">
        <v>2020</v>
      </c>
      <c r="G56" s="9" t="n">
        <v>34.13</v>
      </c>
      <c r="H56" s="8" t="n">
        <v>98</v>
      </c>
      <c r="I56" s="10" t="b">
        <f aca="false">AND(OR($B$2="Any",$B$2="",B56=$B$2),OR($C$2="Any",$C$2="",D56=$C$2),OR($D$2="Any",$D$2="",E56=$D$2),OR($E$2="",G56&lt;=$E$2),OR($F$2="",H56&gt;=$F$2))</f>
        <v>1</v>
      </c>
    </row>
    <row r="57" customFormat="false" ht="15" hidden="false" customHeight="false" outlineLevel="0" collapsed="false">
      <c r="A57" s="8" t="s">
        <v>142</v>
      </c>
      <c r="B57" s="8" t="s">
        <v>53</v>
      </c>
      <c r="C57" s="8" t="s">
        <v>70</v>
      </c>
      <c r="D57" s="8" t="s">
        <v>61</v>
      </c>
      <c r="E57" s="8" t="s">
        <v>45</v>
      </c>
      <c r="F57" s="8" t="n">
        <v>2019</v>
      </c>
      <c r="G57" s="9" t="n">
        <v>29.34</v>
      </c>
      <c r="H57" s="8" t="n">
        <v>89</v>
      </c>
      <c r="I57" s="10" t="b">
        <f aca="false">AND(OR($B$2="Any",$B$2="",B57=$B$2),OR($C$2="Any",$C$2="",D57=$C$2),OR($D$2="Any",$D$2="",E57=$D$2),OR($E$2="",G57&lt;=$E$2),OR($F$2="",H57&gt;=$F$2))</f>
        <v>1</v>
      </c>
    </row>
    <row r="58" customFormat="false" ht="15" hidden="false" customHeight="false" outlineLevel="0" collapsed="false">
      <c r="A58" s="8" t="s">
        <v>143</v>
      </c>
      <c r="B58" s="8" t="s">
        <v>64</v>
      </c>
      <c r="C58" s="8" t="s">
        <v>65</v>
      </c>
      <c r="D58" s="8" t="s">
        <v>31</v>
      </c>
      <c r="E58" s="8" t="s">
        <v>88</v>
      </c>
      <c r="F58" s="8" t="n">
        <v>2021</v>
      </c>
      <c r="G58" s="9" t="n">
        <v>33.35</v>
      </c>
      <c r="H58" s="8" t="n">
        <v>93</v>
      </c>
      <c r="I58" s="10" t="b">
        <f aca="false">AND(OR($B$2="Any",$B$2="",B58=$B$2),OR($C$2="Any",$C$2="",D58=$C$2),OR($D$2="Any",$D$2="",E58=$D$2),OR($E$2="",G58&lt;=$E$2),OR($F$2="",H58&gt;=$F$2))</f>
        <v>1</v>
      </c>
    </row>
    <row r="59" customFormat="false" ht="15" hidden="false" customHeight="false" outlineLevel="0" collapsed="false">
      <c r="A59" s="8" t="s">
        <v>144</v>
      </c>
      <c r="B59" s="8" t="s">
        <v>64</v>
      </c>
      <c r="C59" s="8" t="s">
        <v>117</v>
      </c>
      <c r="D59" s="8" t="s">
        <v>80</v>
      </c>
      <c r="E59" s="8" t="s">
        <v>66</v>
      </c>
      <c r="F59" s="8" t="n">
        <v>2019</v>
      </c>
      <c r="G59" s="9" t="n">
        <v>12.3</v>
      </c>
      <c r="H59" s="8" t="n">
        <v>93</v>
      </c>
      <c r="I59" s="10" t="b">
        <f aca="false">AND(OR($B$2="Any",$B$2="",B59=$B$2),OR($C$2="Any",$C$2="",D59=$C$2),OR($D$2="Any",$D$2="",E59=$D$2),OR($E$2="",G59&lt;=$E$2),OR($F$2="",H59&gt;=$F$2))</f>
        <v>1</v>
      </c>
    </row>
  </sheetData>
  <dataValidations count="3">
    <dataValidation allowBlank="true" errorStyle="stop" operator="between" showDropDown="false" showErrorMessage="false" showInputMessage="false" sqref="B2" type="list">
      <formula1>"Any,Argentina,Australia,Chile,France,Germany,Italy,New Zealand,Portugal,South Africa,Spain,USA"</formula1>
      <formula2>0</formula2>
    </dataValidation>
    <dataValidation allowBlank="true" errorStyle="stop" operator="between" showDropDown="false" showErrorMessage="false" showInputMessage="false" sqref="C2" type="list">
      <formula1>"Any,Dessert,Red,Rose,Sparkling,White"</formula1>
      <formula2>0</formula2>
    </dataValidation>
    <dataValidation allowBlank="true" errorStyle="stop" operator="between" showDropDown="false" showErrorMessage="false" showInputMessage="false" sqref="D2" type="list">
      <formula1>"Any,Albarino,Cabernet Sauvignon,Chardonnay,Chenin Blanc,Cinsault,Grenache,Malbec,Merlot,Nebbiolo,Pinot Grigio,Pinot Noir,Riesling,Sangiovese,Semillon,Syrah,Tempranillo,Viognier,Zinfandel"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2026-07-17T01:43:26Z</dcterms:created>
  <dc:creator>openpyxl</dc:creator>
  <dc:description/>
  <dc:language>en-US</dc:language>
  <cp:lastModifiedBy/>
  <dcterms:modified xsi:type="dcterms:W3CDTF">2026-07-17T01:43:26Z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